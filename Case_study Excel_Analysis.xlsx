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 Rawat\OneDrive\Desktop\"/>
    </mc:Choice>
  </mc:AlternateContent>
  <xr:revisionPtr revIDLastSave="0" documentId="13_ncr:1_{0B20FE4E-3FA0-4016-B478-46A9F58479F0}" xr6:coauthVersionLast="47" xr6:coauthVersionMax="47" xr10:uidLastSave="{00000000-0000-0000-0000-000000000000}"/>
  <bookViews>
    <workbookView xWindow="-108" yWindow="-108" windowWidth="23256" windowHeight="12456" xr2:uid="{A11D225C-BF16-46BA-9AAA-66DD5BA8AB03}"/>
  </bookViews>
  <sheets>
    <sheet name="Data_Analysis" sheetId="1" r:id="rId1"/>
  </sheets>
  <definedNames>
    <definedName name="_xlchart.v1.0" hidden="1">Data_Analysis!$A$11:$A$13</definedName>
    <definedName name="_xlchart.v1.1" hidden="1">Data_Analysis!$B$10</definedName>
    <definedName name="_xlchart.v1.2" hidden="1">Data_Analysis!$B$11:$B$13</definedName>
    <definedName name="_xlchart.v1.3" hidden="1">Data_Analysis!$C$10</definedName>
    <definedName name="_xlchart.v1.4" hidden="1">Data_Analysis!$C$11:$C$13</definedName>
    <definedName name="_xlchart.v1.5" hidden="1">Data_Analysis!$D$10</definedName>
    <definedName name="_xlchart.v1.6" hidden="1">Data_Analysis!$D$11:$D$13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B12" i="1"/>
  <c r="B11" i="1"/>
  <c r="C11" i="1"/>
  <c r="D11" i="1"/>
  <c r="C13" i="1"/>
  <c r="D13" i="1"/>
  <c r="B13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<sst xmlns="http://schemas.openxmlformats.org/spreadsheetml/2006/main" count="18" uniqueCount="15">
  <si>
    <t>Metric</t>
  </si>
  <si>
    <t>Month 1</t>
  </si>
  <si>
    <t>Month 2</t>
  </si>
  <si>
    <t>Month 3</t>
  </si>
  <si>
    <t>Avg Course Rating (Out of 5)</t>
  </si>
  <si>
    <t>Refund Requests</t>
  </si>
  <si>
    <t>Course Completions</t>
  </si>
  <si>
    <t>Course Signups</t>
  </si>
  <si>
    <t>Website Visitors</t>
  </si>
  <si>
    <t>Increase/Decrease in Month 3 wrt Month 1</t>
  </si>
  <si>
    <t>Average Value</t>
  </si>
  <si>
    <t>KPI</t>
  </si>
  <si>
    <t>Conversion Rate (%)</t>
  </si>
  <si>
    <t>Refund request out of total signups(%)</t>
  </si>
  <si>
    <t>Course Completion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</si>
</sst>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/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0;[Red]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0;[Red]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KPI change over months</a:t>
            </a:r>
          </a:p>
        </c:rich>
      </c:tx>
      <c:layout>
        <c:manualLayout>
          <c:xMode val="edge"/>
          <c:yMode val="edge"/>
          <c:x val="0.1792459410315646"/>
          <c:y val="4.2735042735042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34188034188023E-2"/>
          <c:y val="0.17182553471407247"/>
          <c:w val="0.91316239316239334"/>
          <c:h val="0.5171143469680779"/>
        </c:manualLayout>
      </c:layout>
      <c:lineChart>
        <c:grouping val="standard"/>
        <c:varyColors val="0"/>
        <c:ser>
          <c:idx val="0"/>
          <c:order val="0"/>
          <c:tx>
            <c:strRef>
              <c:f>Data_Analysis!$A$11</c:f>
              <c:strCache>
                <c:ptCount val="1"/>
                <c:pt idx="0">
                  <c:v>Conversion Rate (%)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2"/>
              <c:layout>
                <c:manualLayout>
                  <c:x val="-2.2893772893772892E-2"/>
                  <c:y val="3.95670026129152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59-4804-AF11-1A7E65AB5D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Data_Analysis!$B$10:$D$10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Data_Analysis!$B$11:$D$11</c:f>
              <c:numCache>
                <c:formatCode>General</c:formatCode>
                <c:ptCount val="3"/>
                <c:pt idx="0" formatCode="0.00;[Red]0.0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9-4804-AF11-1A7E65AB5DB8}"/>
            </c:ext>
          </c:extLst>
        </c:ser>
        <c:ser>
          <c:idx val="1"/>
          <c:order val="1"/>
          <c:tx>
            <c:strRef>
              <c:f>Data_Analysis!$A$12</c:f>
              <c:strCache>
                <c:ptCount val="1"/>
                <c:pt idx="0">
                  <c:v>Course Completion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0170940170940174E-2"/>
                  <c:y val="4.88481820704968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59-4804-AF11-1A7E65AB5DB8}"/>
                </c:ext>
              </c:extLst>
            </c:dLbl>
            <c:dLbl>
              <c:idx val="1"/>
              <c:layout>
                <c:manualLayout>
                  <c:x val="-3.6752136752136753E-2"/>
                  <c:y val="5.1623646960865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59-4804-AF11-1A7E65AB5DB8}"/>
                </c:ext>
              </c:extLst>
            </c:dLbl>
            <c:dLbl>
              <c:idx val="2"/>
              <c:layout>
                <c:manualLayout>
                  <c:x val="-3.8461538461538464E-2"/>
                  <c:y val="3.7746322509020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259-4804-AF11-1A7E65AB5D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Data_Analysis!$B$10:$D$10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Data_Analysis!$B$12:$D$12</c:f>
              <c:numCache>
                <c:formatCode>0.00;[Red]0.00</c:formatCode>
                <c:ptCount val="3"/>
                <c:pt idx="0">
                  <c:v>66.666666666666657</c:v>
                </c:pt>
                <c:pt idx="1">
                  <c:v>60</c:v>
                </c:pt>
                <c:pt idx="2">
                  <c:v>55.000000000000007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9-4804-AF11-1A7E65AB5DB8}"/>
            </c:ext>
          </c:extLst>
        </c:ser>
        <c:ser>
          <c:idx val="2"/>
          <c:order val="2"/>
          <c:tx>
            <c:strRef>
              <c:f>Data_Analysis!$A$13</c:f>
              <c:strCache>
                <c:ptCount val="1"/>
                <c:pt idx="0">
                  <c:v>Refund request out of total signups(%)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2417582417582416E-2"/>
                  <c:y val="7.838745800671892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59-4804-AF11-1A7E65AB5DB8}"/>
                </c:ext>
              </c:extLst>
            </c:dLbl>
            <c:dLbl>
              <c:idx val="1"/>
              <c:layout>
                <c:manualLayout>
                  <c:x val="-2.8617216117216116E-2"/>
                  <c:y val="4.88988428518103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59-4804-AF11-1A7E65AB5DB8}"/>
                </c:ext>
              </c:extLst>
            </c:dLbl>
            <c:dLbl>
              <c:idx val="2"/>
              <c:layout>
                <c:manualLayout>
                  <c:x val="-4.5787545787545784E-2"/>
                  <c:y val="-4.4419559537140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59-4804-AF11-1A7E65AB5D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C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Data_Analysis!$B$10:$D$10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Data_Analysis!$B$13:$D$13</c:f>
              <c:numCache>
                <c:formatCode>General</c:formatCode>
                <c:ptCount val="3"/>
                <c:pt idx="0" formatCode="0.00;[Red]0.00">
                  <c:v>4.1666666666666661</c:v>
                </c:pt>
                <c:pt idx="1">
                  <c:v>8</c:v>
                </c:pt>
                <c:pt idx="2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9-4804-AF11-1A7E65AB5D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7633903"/>
        <c:axId val="847630543"/>
      </c:lineChart>
      <c:catAx>
        <c:axId val="84763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Key Performance Indicators</a:t>
                </a:r>
              </a:p>
            </c:rich>
          </c:tx>
          <c:layout>
            <c:manualLayout>
              <c:xMode val="edge"/>
              <c:yMode val="edge"/>
              <c:x val="0.34883424187361195"/>
              <c:y val="0.883220020062021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7630543"/>
        <c:crosses val="autoZero"/>
        <c:auto val="1"/>
        <c:lblAlgn val="ctr"/>
        <c:lblOffset val="100"/>
        <c:noMultiLvlLbl val="0"/>
      </c:catAx>
      <c:valAx>
        <c:axId val="8476305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;[Red]0.00" sourceLinked="1"/>
        <c:majorTickMark val="none"/>
        <c:minorTickMark val="none"/>
        <c:tickLblPos val="nextTo"/>
        <c:crossAx val="847633903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t"/>
      <c:layout>
        <c:manualLayout>
          <c:xMode val="edge"/>
          <c:yMode val="edge"/>
          <c:x val="2.7569419207214483E-2"/>
          <c:y val="0.77371088397464061"/>
          <c:w val="0.9699948874256723"/>
          <c:h val="8.9889340201350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213360</xdr:rowOff>
    </xdr:from>
    <xdr:to>
      <xdr:col>14</xdr:col>
      <xdr:colOff>251460</xdr:colOff>
      <xdr:row>17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04AF1F-92FE-468B-3C21-EE1023B8A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47774-9189-434C-8657-AF26E414D4F2}" name="Table1" displayName="Table1" ref="A1:D6" totalsRowShown="0" headerRowDxfId="8" dataDxfId="9">
  <autoFilter ref="A1:D6" xr:uid="{63A47774-9189-434C-8657-AF26E414D4F2}"/>
  <tableColumns count="4">
    <tableColumn id="1" xr3:uid="{1D058EC3-9F6D-4430-BE5B-C714A16160BB}" name="Metric" dataDxfId="13"/>
    <tableColumn id="2" xr3:uid="{F7F7FC67-A0A5-4C6C-BD38-703AF2B7C040}" name="Month 1" dataDxfId="12"/>
    <tableColumn id="3" xr3:uid="{050ADBDD-DA90-47DB-A831-2A824A97E916}" name="Month 2" dataDxfId="11"/>
    <tableColumn id="4" xr3:uid="{708F79D6-D5CB-4ED1-91BE-B8AC41A9A6A0}" name="Month 3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795FE9-5732-446D-AC73-78E8BC81D713}" name="Table3" displayName="Table3" ref="A10:D13" totalsRowShown="0" headerRowDxfId="4" dataDxfId="5">
  <autoFilter ref="A10:D13" xr:uid="{03795FE9-5732-446D-AC73-78E8BC81D713}"/>
  <tableColumns count="4">
    <tableColumn id="1" xr3:uid="{6E707312-DB45-41EB-A15F-A45E1982C80B}" name="KPI"/>
    <tableColumn id="2" xr3:uid="{9E9700AC-2929-448B-AEE1-BAC6C64FFB9A}" name="Month 1" dataDxfId="1"/>
    <tableColumn id="3" xr3:uid="{62837F38-F96E-456E-8D5C-60154D3FCCDD}" name="Month 2" dataDxfId="7"/>
    <tableColumn id="4" xr3:uid="{F64DE30E-7147-4173-B2C8-774E8A008F96}" name="Month 3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FA2698-2715-4DE7-9451-1FA488A856C5}" name="Table5" displayName="Table5" ref="E1:F6" totalsRowShown="0" headerRowDxfId="2">
  <autoFilter ref="E1:F6" xr:uid="{CFFA2698-2715-4DE7-9451-1FA488A856C5}"/>
  <tableColumns count="2">
    <tableColumn id="1" xr3:uid="{50845B13-942A-4204-B896-933DB6723808}" name="Increase/Decrease in Month 3 wrt Month 1" dataDxfId="3">
      <calculatedColumnFormula>(D2-B2)*100/B2</calculatedColumnFormula>
    </tableColumn>
    <tableColumn id="2" xr3:uid="{A9F6D88A-ED80-470A-859B-FC4E377CFF1A}" name="Average Value" dataDxfId="0">
      <calculatedColumnFormula>AVERAGE(B2,C2,D2)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3A5A-6C04-4CE3-BC29-D69AF5F8A1D2}">
  <dimension ref="A1:F13"/>
  <sheetViews>
    <sheetView tabSelected="1" workbookViewId="0">
      <selection activeCell="F17" sqref="F17"/>
    </sheetView>
  </sheetViews>
  <sheetFormatPr defaultRowHeight="15.6" x14ac:dyDescent="0.3"/>
  <cols>
    <col min="1" max="1" width="29" style="2" customWidth="1"/>
    <col min="2" max="2" width="13.44140625" style="2" customWidth="1"/>
    <col min="3" max="3" width="16.88671875" style="2" customWidth="1"/>
    <col min="4" max="4" width="13.88671875" style="2" customWidth="1"/>
    <col min="5" max="5" width="18.77734375" style="2" customWidth="1"/>
    <col min="6" max="6" width="16.88671875" style="2" customWidth="1"/>
    <col min="7" max="16384" width="8.88671875" style="2"/>
  </cols>
  <sheetData>
    <row r="1" spans="1:6" s="1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9</v>
      </c>
      <c r="F1" s="7" t="s">
        <v>10</v>
      </c>
    </row>
    <row r="2" spans="1:6" x14ac:dyDescent="0.3">
      <c r="A2" s="2" t="s">
        <v>8</v>
      </c>
      <c r="B2" s="3">
        <v>10000</v>
      </c>
      <c r="C2" s="3">
        <v>15000</v>
      </c>
      <c r="D2" s="3">
        <v>20000</v>
      </c>
      <c r="E2" s="3">
        <f>(D2-B2)*100/B2</f>
        <v>100</v>
      </c>
      <c r="F2" s="6">
        <f>AVERAGE(B2,C2,D2)</f>
        <v>15000</v>
      </c>
    </row>
    <row r="3" spans="1:6" x14ac:dyDescent="0.3">
      <c r="A3" s="2" t="s">
        <v>7</v>
      </c>
      <c r="B3" s="3">
        <v>1200</v>
      </c>
      <c r="C3" s="3">
        <v>1500</v>
      </c>
      <c r="D3" s="3">
        <v>1600</v>
      </c>
      <c r="E3" s="3">
        <f t="shared" ref="E3:E6" si="0">(D3-B3)*100/B3</f>
        <v>33.333333333333336</v>
      </c>
      <c r="F3" s="6">
        <f t="shared" ref="F3:F6" si="1">AVERAGE(B3,C3,D3)</f>
        <v>1433.3333333333333</v>
      </c>
    </row>
    <row r="4" spans="1:6" x14ac:dyDescent="0.3">
      <c r="A4" s="2" t="s">
        <v>6</v>
      </c>
      <c r="B4" s="2">
        <v>800</v>
      </c>
      <c r="C4" s="2">
        <v>900</v>
      </c>
      <c r="D4" s="2">
        <v>880</v>
      </c>
      <c r="E4" s="3">
        <f t="shared" si="0"/>
        <v>10</v>
      </c>
      <c r="F4" s="6">
        <f t="shared" si="1"/>
        <v>860</v>
      </c>
    </row>
    <row r="5" spans="1:6" x14ac:dyDescent="0.3">
      <c r="A5" s="2" t="s">
        <v>5</v>
      </c>
      <c r="B5" s="2">
        <v>50</v>
      </c>
      <c r="C5" s="2">
        <v>120</v>
      </c>
      <c r="D5" s="2">
        <v>200</v>
      </c>
      <c r="E5" s="3">
        <f t="shared" si="0"/>
        <v>300</v>
      </c>
      <c r="F5" s="6">
        <f t="shared" si="1"/>
        <v>123.33333333333333</v>
      </c>
    </row>
    <row r="6" spans="1:6" x14ac:dyDescent="0.3">
      <c r="A6" s="2" t="s">
        <v>4</v>
      </c>
      <c r="B6" s="2">
        <v>4.5</v>
      </c>
      <c r="C6" s="2">
        <v>4.2</v>
      </c>
      <c r="D6" s="2">
        <v>3.8</v>
      </c>
      <c r="E6" s="3">
        <f t="shared" si="0"/>
        <v>-15.555555555555559</v>
      </c>
      <c r="F6" s="6">
        <f t="shared" si="1"/>
        <v>4.166666666666667</v>
      </c>
    </row>
    <row r="10" spans="1:6" x14ac:dyDescent="0.3">
      <c r="A10" s="2" t="s">
        <v>11</v>
      </c>
      <c r="B10" s="6" t="s">
        <v>1</v>
      </c>
      <c r="C10" s="2" t="s">
        <v>2</v>
      </c>
      <c r="D10" s="2" t="s">
        <v>3</v>
      </c>
    </row>
    <row r="11" spans="1:6" x14ac:dyDescent="0.3">
      <c r="A11" s="2" t="s">
        <v>12</v>
      </c>
      <c r="B11" s="6">
        <f>(B3/B2)*100</f>
        <v>12</v>
      </c>
      <c r="C11" s="2">
        <f>(C3/C2)*100</f>
        <v>10</v>
      </c>
      <c r="D11" s="2">
        <f>(D3/D2)*100</f>
        <v>8</v>
      </c>
    </row>
    <row r="12" spans="1:6" x14ac:dyDescent="0.3">
      <c r="A12" s="2" t="s">
        <v>14</v>
      </c>
      <c r="B12" s="6">
        <f>(B4/B3)*100</f>
        <v>66.666666666666657</v>
      </c>
      <c r="C12" s="6">
        <f t="shared" ref="C12:D12" si="2">(C4/C3)*100</f>
        <v>60</v>
      </c>
      <c r="D12" s="6">
        <f t="shared" si="2"/>
        <v>55.000000000000007</v>
      </c>
    </row>
    <row r="13" spans="1:6" ht="31.2" x14ac:dyDescent="0.3">
      <c r="A13" s="5" t="s">
        <v>13</v>
      </c>
      <c r="B13" s="6">
        <f>(B5/B3)*100</f>
        <v>4.1666666666666661</v>
      </c>
      <c r="C13" s="2">
        <f>(C5/C3)*100</f>
        <v>8</v>
      </c>
      <c r="D13" s="2">
        <f>(D5/D3)*100</f>
        <v>12.5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Rawat</dc:creator>
  <cp:lastModifiedBy>sneha Rawat</cp:lastModifiedBy>
  <dcterms:created xsi:type="dcterms:W3CDTF">2026-04-02T04:36:04Z</dcterms:created>
  <dcterms:modified xsi:type="dcterms:W3CDTF">2026-04-02T17:09:24Z</dcterms:modified>
</cp:coreProperties>
</file>